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Lucas\Documents\tcc_co2\"/>
    </mc:Choice>
  </mc:AlternateContent>
  <xr:revisionPtr revIDLastSave="0" documentId="8_{9C5B6BB6-B190-4C35-BE9C-FCC7F42EEDFE}" xr6:coauthVersionLast="47" xr6:coauthVersionMax="47" xr10:uidLastSave="{00000000-0000-0000-0000-000000000000}"/>
  <bookViews>
    <workbookView xWindow="-16320" yWindow="-10395" windowWidth="16440" windowHeight="28320" xr2:uid="{33A1FE18-2648-4A64-916A-DC6446327A4C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6" i="1" l="1"/>
  <c r="C16" i="1"/>
</calcChain>
</file>

<file path=xl/sharedStrings.xml><?xml version="1.0" encoding="utf-8"?>
<sst xmlns="http://schemas.openxmlformats.org/spreadsheetml/2006/main" count="51" uniqueCount="34">
  <si>
    <t>Base</t>
  </si>
  <si>
    <t>Ano inicial</t>
  </si>
  <si>
    <t>Ano final</t>
  </si>
  <si>
    <t>Fonte</t>
  </si>
  <si>
    <t>Desmatamento</t>
  </si>
  <si>
    <t>Co2 bruto</t>
  </si>
  <si>
    <t>SEEG</t>
  </si>
  <si>
    <t>frota veiculos</t>
  </si>
  <si>
    <t>denatran</t>
  </si>
  <si>
    <t>ibge</t>
  </si>
  <si>
    <t>pib per capita</t>
  </si>
  <si>
    <t>rebanho</t>
  </si>
  <si>
    <t>venda combustiveis</t>
  </si>
  <si>
    <t>gov/min. transporte</t>
  </si>
  <si>
    <t>inmet</t>
  </si>
  <si>
    <t>MapBiomas(SEEG)</t>
  </si>
  <si>
    <t>internacoes respiratorias</t>
  </si>
  <si>
    <t>datasus</t>
  </si>
  <si>
    <t>area plantada ou destinada a colheita</t>
  </si>
  <si>
    <t>Unidade</t>
  </si>
  <si>
    <t>area colhida</t>
  </si>
  <si>
    <t>hectares</t>
  </si>
  <si>
    <t>unidade</t>
  </si>
  <si>
    <t>precipitacao</t>
  </si>
  <si>
    <t>temperatura</t>
  </si>
  <si>
    <t>ºC</t>
  </si>
  <si>
    <t>mm</t>
  </si>
  <si>
    <t>m³</t>
  </si>
  <si>
    <t>consumo energia eletrica industrial</t>
  </si>
  <si>
    <t>EPE</t>
  </si>
  <si>
    <t>MWh</t>
  </si>
  <si>
    <t>Mt CO2e -&gt; 1 = 1000Kg</t>
  </si>
  <si>
    <t>Pipeline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</si>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</sst>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43ABD-1087-4CDD-AB50-12882E517378}">
  <dimension ref="A1:F16"/>
  <sheetViews>
    <sheetView tabSelected="1" workbookViewId="0">
      <selection activeCell="E17" sqref="E17:E18"/>
    </sheetView>
  </sheetViews>
  <sheetFormatPr defaultRowHeight="15" x14ac:dyDescent="0.25"/>
  <cols>
    <col min="1" max="1" width="34.7109375" bestFit="1" customWidth="1"/>
    <col min="2" max="2" width="11.28515625" bestFit="1" customWidth="1"/>
    <col min="3" max="3" width="9.85546875" bestFit="1" customWidth="1"/>
    <col min="4" max="4" width="19" bestFit="1" customWidth="1"/>
    <col min="5" max="5" width="20.7109375" bestFit="1" customWidth="1"/>
  </cols>
  <sheetData>
    <row r="1" spans="1:6" ht="15.75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19</v>
      </c>
      <c r="F1" s="2" t="s">
        <v>32</v>
      </c>
    </row>
    <row r="2" spans="1:6" x14ac:dyDescent="0.25">
      <c r="A2" s="1" t="s">
        <v>4</v>
      </c>
      <c r="B2" s="1">
        <v>1987</v>
      </c>
      <c r="C2" s="1">
        <v>2024</v>
      </c>
      <c r="D2" s="1" t="s">
        <v>15</v>
      </c>
      <c r="E2" t="s">
        <v>21</v>
      </c>
      <c r="F2" s="1" t="s">
        <v>33</v>
      </c>
    </row>
    <row r="3" spans="1:6" x14ac:dyDescent="0.25">
      <c r="A3" s="1" t="s">
        <v>5</v>
      </c>
      <c r="B3" s="1">
        <v>1990</v>
      </c>
      <c r="C3" s="1">
        <v>2023</v>
      </c>
      <c r="D3" s="1" t="s">
        <v>6</v>
      </c>
      <c r="E3" t="s">
        <v>31</v>
      </c>
      <c r="F3" s="1" t="s">
        <v>33</v>
      </c>
    </row>
    <row r="4" spans="1:6" x14ac:dyDescent="0.25">
      <c r="A4" s="4" t="s">
        <v>7</v>
      </c>
      <c r="B4" s="1">
        <v>2003</v>
      </c>
      <c r="C4" s="4">
        <v>2023</v>
      </c>
      <c r="D4" s="4" t="s">
        <v>8</v>
      </c>
      <c r="E4" s="5" t="s">
        <v>22</v>
      </c>
      <c r="F4" s="4" t="s">
        <v>33</v>
      </c>
    </row>
    <row r="5" spans="1:6" x14ac:dyDescent="0.25">
      <c r="A5" s="1" t="s">
        <v>10</v>
      </c>
      <c r="B5" s="1">
        <v>2002</v>
      </c>
      <c r="C5" s="1">
        <v>2023</v>
      </c>
      <c r="D5" s="1" t="s">
        <v>9</v>
      </c>
      <c r="E5" t="s">
        <v>10</v>
      </c>
      <c r="F5" s="4" t="s">
        <v>33</v>
      </c>
    </row>
    <row r="6" spans="1:6" x14ac:dyDescent="0.25">
      <c r="A6" s="1" t="s">
        <v>11</v>
      </c>
      <c r="B6" s="1">
        <v>1974</v>
      </c>
      <c r="C6" s="1">
        <v>2023</v>
      </c>
      <c r="D6" s="1" t="s">
        <v>9</v>
      </c>
      <c r="E6" t="s">
        <v>22</v>
      </c>
      <c r="F6" s="4" t="s">
        <v>33</v>
      </c>
    </row>
    <row r="7" spans="1:6" x14ac:dyDescent="0.25">
      <c r="A7" s="1" t="s">
        <v>12</v>
      </c>
      <c r="B7" s="1">
        <v>1990</v>
      </c>
      <c r="C7" s="1">
        <v>2025</v>
      </c>
      <c r="D7" s="1" t="s">
        <v>13</v>
      </c>
      <c r="E7" t="s">
        <v>27</v>
      </c>
      <c r="F7" s="4" t="s">
        <v>33</v>
      </c>
    </row>
    <row r="8" spans="1:6" x14ac:dyDescent="0.25">
      <c r="A8" s="1" t="s">
        <v>23</v>
      </c>
      <c r="B8" s="1">
        <v>2000</v>
      </c>
      <c r="C8" s="1">
        <v>2025</v>
      </c>
      <c r="D8" s="1" t="s">
        <v>14</v>
      </c>
      <c r="E8" t="s">
        <v>26</v>
      </c>
      <c r="F8" s="4" t="s">
        <v>33</v>
      </c>
    </row>
    <row r="9" spans="1:6" x14ac:dyDescent="0.25">
      <c r="A9" s="1" t="s">
        <v>24</v>
      </c>
      <c r="B9" s="1">
        <v>2000</v>
      </c>
      <c r="C9" s="1">
        <v>2025</v>
      </c>
      <c r="D9" s="1" t="s">
        <v>14</v>
      </c>
      <c r="E9" t="s">
        <v>25</v>
      </c>
      <c r="F9" s="4" t="s">
        <v>33</v>
      </c>
    </row>
    <row r="10" spans="1:6" x14ac:dyDescent="0.25">
      <c r="A10" s="1" t="s">
        <v>16</v>
      </c>
      <c r="B10" s="3">
        <v>2008</v>
      </c>
      <c r="C10" s="1">
        <v>2025</v>
      </c>
      <c r="D10" s="1" t="s">
        <v>17</v>
      </c>
      <c r="E10" t="s">
        <v>22</v>
      </c>
      <c r="F10" s="4" t="s">
        <v>33</v>
      </c>
    </row>
    <row r="11" spans="1:6" x14ac:dyDescent="0.25">
      <c r="A11" s="1" t="s">
        <v>18</v>
      </c>
      <c r="B11" s="1">
        <v>1988</v>
      </c>
      <c r="C11" s="1">
        <v>2024</v>
      </c>
      <c r="D11" s="1" t="s">
        <v>9</v>
      </c>
      <c r="E11" t="s">
        <v>21</v>
      </c>
    </row>
    <row r="12" spans="1:6" x14ac:dyDescent="0.25">
      <c r="A12" s="1" t="s">
        <v>20</v>
      </c>
      <c r="B12" s="1">
        <v>1974</v>
      </c>
      <c r="C12" s="1">
        <v>2024</v>
      </c>
      <c r="D12" s="1" t="s">
        <v>9</v>
      </c>
      <c r="E12" t="s">
        <v>21</v>
      </c>
    </row>
    <row r="13" spans="1:6" x14ac:dyDescent="0.25">
      <c r="A13" s="1" t="s">
        <v>28</v>
      </c>
      <c r="B13" s="1">
        <v>2004</v>
      </c>
      <c r="C13" s="1">
        <v>2025</v>
      </c>
      <c r="D13" s="1" t="s">
        <v>29</v>
      </c>
      <c r="E13" t="s">
        <v>30</v>
      </c>
    </row>
    <row r="16" spans="1:6" x14ac:dyDescent="0.25">
      <c r="B16">
        <f>LARGE(B2:B13,1)</f>
        <v>2008</v>
      </c>
      <c r="C16">
        <f>SMALL(C2:C13,1)</f>
        <v>2023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</dc:creator>
  <cp:lastModifiedBy>Lucas</cp:lastModifiedBy>
  <dcterms:created xsi:type="dcterms:W3CDTF">2026-04-07T19:44:39Z</dcterms:created>
  <dcterms:modified xsi:type="dcterms:W3CDTF">2026-04-07T21:27:34Z</dcterms:modified>
</cp:coreProperties>
</file>